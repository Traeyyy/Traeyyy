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<sst xmlns="http://schemas.openxmlformats.org/spreadsheetml/2006/main" count="336" uniqueCount="115">
  <si>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</si>
  <si>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</si>
  <si>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</si>
  <si>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</si>
  <si>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</si>
  <si>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</si>
  <si>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</si>
  <si>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</si>
  <si>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</si>
  <si>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</si>
  <si>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</si>
  <si>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Q_DuplicateRespondent</t>
  </si>
  <si>
    <t>Q1</t>
  </si>
  <si>
    <t>Q2</t>
  </si>
  <si>
    <t>Q3</t>
  </si>
  <si>
    <t>Q5_1 - Friend anger</t>
  </si>
  <si>
    <t>Q6_1 -  Friend morality</t>
  </si>
  <si>
    <t>Q5_1 - Stranger anger</t>
  </si>
  <si>
    <t>Q6_1 - Stranger morality</t>
  </si>
  <si>
    <t>Q7</t>
  </si>
  <si>
    <t>Q8</t>
  </si>
  <si>
    <t>########</t>
  </si>
  <si>
    <t>R_4AZvx3Jg6qOIDAZ</t>
  </si>
  <si>
    <t>anonymous</t>
  </si>
  <si>
    <t>EN</t>
  </si>
  <si>
    <t>R_9gSce73e66t0XRM</t>
  </si>
  <si>
    <t>How one perceives morality.</t>
  </si>
  <si>
    <t>R_9qkYljsufOd2kVP</t>
  </si>
  <si>
    <t>About the correlation with anger and immortality</t>
  </si>
  <si>
    <t>R_9m7RMUO5ZJd52tv</t>
  </si>
  <si>
    <t>reaction towards a person's morals</t>
  </si>
  <si>
    <t>R_9lafXylZzWLy63a</t>
  </si>
  <si>
    <t>emotional and situation</t>
  </si>
  <si>
    <t>R_4DoxgjwGLtWxa0K</t>
  </si>
  <si>
    <t>Comparing the immorality of males or females taking credit for ideas</t>
  </si>
  <si>
    <t>R_6jligvKrrgq6TeT</t>
  </si>
  <si>
    <t>R_9c5peJbWvdrqipX</t>
  </si>
  <si>
    <t>Anger and morality</t>
  </si>
  <si>
    <t>R_3MQm6Lx8p8D7eNB</t>
  </si>
  <si>
    <t>R_4JxiQjSbufO9uoW</t>
  </si>
  <si>
    <t>How does morality correspond with actions</t>
  </si>
  <si>
    <t>R_93jzsYiQC2h4F5l</t>
  </si>
  <si>
    <t>about cognitive bias</t>
  </si>
  <si>
    <t>R_4jTgBAZF7Jn8kvh</t>
  </si>
  <si>
    <t>What peers do on the daily and how that affects your anger</t>
  </si>
  <si>
    <t>R_9NxlznhabDhOD02</t>
  </si>
  <si>
    <t>18 years old</t>
  </si>
  <si>
    <t>I think this survey was about how well people handle their emotions when they are put in an uncomfortable situation.</t>
  </si>
  <si>
    <t>R_7ccq432TkN0SSWU</t>
  </si>
  <si>
    <t>Stealing of one’s ideas, could be, or friendship issues</t>
  </si>
  <si>
    <t>R_4IRBRh6JTkRVUmD</t>
  </si>
  <si>
    <t>The survey is about how people react when someone takes credit for a shared idea.</t>
  </si>
  <si>
    <t>R_6RULkHYCxhGALlv</t>
  </si>
  <si>
    <t>Perspective</t>
  </si>
  <si>
    <t>R_4lAHBAwgqIUnARH</t>
  </si>
  <si>
    <t>about finding how people would react to an unfair situation, and what impact morals have</t>
  </si>
  <si>
    <t>R_1xDLHMK2dFKB2vL</t>
  </si>
  <si>
    <t>How emotions affect morality</t>
  </si>
  <si>
    <t>R_4FdJFSuWq1y8qVr</t>
  </si>
  <si>
    <t>I believe the survey was about how people perceive leadership, teamwork, product effectiveness, and moral decision-making in different scenarios.</t>
  </si>
  <si>
    <t>R_4dKUDlGwKWExOg1</t>
  </si>
  <si>
    <t>credit of team work</t>
  </si>
  <si>
    <t>R_9l6mkxA541us0GU</t>
  </si>
  <si>
    <t>How certain scenarios affect our workplace relationships</t>
  </si>
  <si>
    <t>R_9X5Tvps7VeHUQQV</t>
  </si>
  <si>
    <t>The influence of intense emotions on human attention</t>
  </si>
  <si>
    <t>R_4DGsuCd3LlbXfV0</t>
  </si>
  <si>
    <t>the relationship between one's anger and his perception of the morality of the issue</t>
  </si>
  <si>
    <t>R_9e1Z7QCy9yu2JfP</t>
  </si>
  <si>
    <t>Honesty</t>
  </si>
  <si>
    <t>R_4CJpekv8mf2vVbX</t>
  </si>
  <si>
    <t>To measure workplace dynamics and emotions</t>
  </si>
  <si>
    <t>R_6Eu6lSqsq6fFln2</t>
  </si>
  <si>
    <t>Being a pushover</t>
  </si>
  <si>
    <t>R_9Pc8S8dH9lWEv95</t>
  </si>
  <si>
    <t>it was a kind of interesting because i really do not like when people talk like their idea but in reality not. Even tough its just survey, i feel really bad for him and annoyed</t>
  </si>
  <si>
    <t>R_45YvT8VaiBFBOqR</t>
  </si>
  <si>
    <t>How angry we get in certain situations</t>
  </si>
  <si>
    <t>R_9nAB8I8XYlfeJCO</t>
  </si>
  <si>
    <t>Ethics in teamwork</t>
  </si>
  <si>
    <t>R_1Jl0dlX4CsYCAoT</t>
  </si>
  <si>
    <t>About psychological emotions in a stressful situation?</t>
  </si>
  <si>
    <t>R_4IXpjrYzz6k8VrV</t>
  </si>
  <si>
    <t>The perceived morality in a seemingly unfair social condition among peers.</t>
  </si>
  <si>
    <t>R_9LTFVJxqxtZWmJE</t>
  </si>
  <si>
    <t>how angry you would be if a coworker did some stupid stuff</t>
  </si>
  <si>
    <t>R_9gGugPN2qGXd5AZ</t>
  </si>
  <si>
    <t>rating judgements on morality vs anger</t>
  </si>
  <si>
    <t>R_1dMrWlEFyY0srdD</t>
  </si>
  <si>
    <t>R_9snRh52KtHrghn7</t>
  </si>
  <si>
    <t>plagiarism stuff</t>
  </si>
  <si>
    <t>R_4xSq6QMd7klBF8l</t>
  </si>
  <si>
    <t>morality</t>
  </si>
  <si>
    <t>R_5KDZHqDHetOGchk</t>
  </si>
  <si>
    <t>I have no idea</t>
  </si>
  <si>
    <t>R_9pYxWCzGNMgnksb</t>
  </si>
  <si>
    <t>How feeling affects a person's attention or memory</t>
  </si>
  <si>
    <t>R_3VlixVETVqSbWug</t>
  </si>
  <si>
    <t>anger</t>
  </si>
  <si>
    <t>R_9DUu0vfD2fx4xaD</t>
  </si>
  <si>
    <t>Morale</t>
  </si>
  <si>
    <t>R_9NzgmriLPhlTWXA</t>
  </si>
  <si>
    <t>Whether if it would make me angry I wouldve remembered the name</t>
  </si>
  <si>
    <t>R_1PZqu4ZfaUQccTL</t>
  </si>
  <si>
    <t>Someone stealing your idea</t>
  </si>
  <si>
    <t>R_9WFv2EsCgnbIW53</t>
  </si>
  <si>
    <t>How mad we get vs how inmoral we believe something is</t>
  </si>
  <si>
    <t>R_4KDDF42MFEDeM2L</t>
  </si>
  <si>
    <t>idk</t>
  </si>
  <si>
    <t>Anger towards a Friend</t>
  </si>
  <si>
    <t>Anger towards a Stranger</t>
  </si>
  <si>
    <t>Morality of a Friend</t>
  </si>
  <si>
    <t>Morality of a Stranger</t>
  </si>
  <si>
    <t>Average</t>
  </si>
  <si>
    <t>STDEV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</si>
</sst>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Friend vs Stranger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errBars>
            <c:errDir val="y"/>
            <c:errBarType val="both"/>
            <c:errValType val="fixedVal"/>
            <c:noEndCap val="0"/>
            <c:val val="0.0"/>
          </c:errBars>
          <c:cat>
            <c:strRef>
              <c:f>Sheet1!$P$54:$S$54</c:f>
            </c:strRef>
          </c:cat>
          <c:val>
            <c:numRef>
              <c:f>Sheet1!$P$55:$S$55</c:f>
              <c:numCache/>
            </c:numRef>
          </c:val>
        </c:ser>
        <c:axId val="726672408"/>
        <c:axId val="1103428433"/>
      </c:barChart>
      <c:catAx>
        <c:axId val="72667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428433"/>
      </c:catAx>
      <c:valAx>
        <c:axId val="1103428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672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Survey of how people would feel in a scenario with a friend vs stranger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fixedVal"/>
            <c:noEndCap val="0"/>
            <c:val val="2.494203807"/>
          </c:errBars>
          <c:cat>
            <c:strRef>
              <c:f>Sheet1!$I$54:$I$57</c:f>
            </c:strRef>
          </c:cat>
          <c:val>
            <c:numRef>
              <c:f>Sheet1!$J$54:$J$57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fixedVal"/>
            <c:noEndCap val="0"/>
            <c:val val="1.714706211"/>
          </c:errBars>
          <c:cat>
            <c:strRef>
              <c:f>Sheet1!$I$54:$I$57</c:f>
            </c:strRef>
          </c:cat>
          <c:val>
            <c:numRef>
              <c:f>Sheet1!$K$54:$K$57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fixedVal"/>
            <c:noEndCap val="0"/>
            <c:val val="2.446802425"/>
          </c:errBars>
          <c:cat>
            <c:strRef>
              <c:f>Sheet1!$I$54:$I$57</c:f>
            </c:strRef>
          </c:cat>
          <c:val>
            <c:numRef>
              <c:f>Sheet1!$L$54:$L$57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fixedVal"/>
            <c:noEndCap val="0"/>
            <c:val val="1.650098811"/>
          </c:errBars>
          <c:cat>
            <c:strRef>
              <c:f>Sheet1!$I$54:$I$57</c:f>
            </c:strRef>
          </c:cat>
          <c:val>
            <c:numRef>
              <c:f>Sheet1!$M$54:$M$57</c:f>
              <c:numCache/>
            </c:numRef>
          </c:val>
        </c:ser>
        <c:axId val="971265763"/>
        <c:axId val="570006054"/>
      </c:barChart>
      <c:catAx>
        <c:axId val="971265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006054"/>
      </c:catAx>
      <c:valAx>
        <c:axId val="570006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 of feelings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265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60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723900</xdr:colOff>
      <xdr:row>60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9" max="9" width="21.88"/>
    <col customWidth="1" min="16" max="16" width="12.25"/>
    <col customWidth="1" min="17" max="17" width="12.88"/>
    <col customWidth="1" min="18" max="19" width="14.13"/>
    <col customWidth="1" min="21" max="21" width="1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r="2">
      <c r="A2" s="3" t="s">
        <v>21</v>
      </c>
      <c r="B2" s="3" t="s">
        <v>21</v>
      </c>
      <c r="C2" s="4">
        <v>0.0</v>
      </c>
      <c r="D2" s="4">
        <v>100.0</v>
      </c>
      <c r="E2" s="4">
        <v>143.0</v>
      </c>
      <c r="F2" s="4">
        <v>1.0</v>
      </c>
      <c r="G2" s="3" t="s">
        <v>21</v>
      </c>
      <c r="H2" s="5" t="s">
        <v>22</v>
      </c>
      <c r="I2" s="5" t="s">
        <v>23</v>
      </c>
      <c r="J2" s="5" t="s">
        <v>24</v>
      </c>
      <c r="K2" s="4">
        <v>0.8</v>
      </c>
      <c r="L2" s="6"/>
      <c r="M2" s="4">
        <v>1.0</v>
      </c>
      <c r="N2" s="5">
        <v>18.0</v>
      </c>
      <c r="O2" s="4">
        <v>2.0</v>
      </c>
      <c r="P2" s="4">
        <v>8.0</v>
      </c>
      <c r="Q2" s="4">
        <v>-5.0</v>
      </c>
      <c r="R2" s="6"/>
      <c r="S2" s="6"/>
      <c r="T2" s="4">
        <v>1.0</v>
      </c>
      <c r="U2" s="6"/>
    </row>
    <row r="3">
      <c r="A3" s="3" t="s">
        <v>21</v>
      </c>
      <c r="B3" s="3" t="s">
        <v>21</v>
      </c>
      <c r="C3" s="4">
        <v>0.0</v>
      </c>
      <c r="D3" s="4">
        <v>100.0</v>
      </c>
      <c r="E3" s="4">
        <v>81.0</v>
      </c>
      <c r="F3" s="4">
        <v>1.0</v>
      </c>
      <c r="G3" s="3" t="s">
        <v>21</v>
      </c>
      <c r="H3" s="5" t="s">
        <v>25</v>
      </c>
      <c r="I3" s="5" t="s">
        <v>23</v>
      </c>
      <c r="J3" s="5" t="s">
        <v>24</v>
      </c>
      <c r="K3" s="4">
        <v>1.0</v>
      </c>
      <c r="L3" s="6"/>
      <c r="M3" s="4">
        <v>1.0</v>
      </c>
      <c r="N3" s="5">
        <v>21.0</v>
      </c>
      <c r="O3" s="4">
        <v>2.0</v>
      </c>
      <c r="P3" s="6"/>
      <c r="Q3" s="6"/>
      <c r="R3" s="4">
        <v>9.0</v>
      </c>
      <c r="S3" s="4">
        <v>-4.0</v>
      </c>
      <c r="T3" s="4">
        <v>1.0</v>
      </c>
      <c r="U3" s="5" t="s">
        <v>26</v>
      </c>
    </row>
    <row r="4">
      <c r="A4" s="3" t="s">
        <v>21</v>
      </c>
      <c r="B4" s="3" t="s">
        <v>21</v>
      </c>
      <c r="C4" s="4">
        <v>0.0</v>
      </c>
      <c r="D4" s="4">
        <v>100.0</v>
      </c>
      <c r="E4" s="4">
        <v>78.0</v>
      </c>
      <c r="F4" s="4">
        <v>1.0</v>
      </c>
      <c r="G4" s="3" t="s">
        <v>21</v>
      </c>
      <c r="H4" s="5" t="s">
        <v>27</v>
      </c>
      <c r="I4" s="5" t="s">
        <v>23</v>
      </c>
      <c r="J4" s="5" t="s">
        <v>24</v>
      </c>
      <c r="K4" s="4">
        <v>1.0</v>
      </c>
      <c r="L4" s="6"/>
      <c r="M4" s="4">
        <v>1.0</v>
      </c>
      <c r="N4" s="5">
        <v>18.0</v>
      </c>
      <c r="O4" s="4">
        <v>2.0</v>
      </c>
      <c r="P4" s="4">
        <v>6.0</v>
      </c>
      <c r="Q4" s="4">
        <v>-4.0</v>
      </c>
      <c r="R4" s="6"/>
      <c r="S4" s="6"/>
      <c r="T4" s="4">
        <v>1.0</v>
      </c>
      <c r="U4" s="5" t="s">
        <v>28</v>
      </c>
    </row>
    <row r="5">
      <c r="A5" s="3" t="s">
        <v>21</v>
      </c>
      <c r="B5" s="3" t="s">
        <v>21</v>
      </c>
      <c r="C5" s="4">
        <v>0.0</v>
      </c>
      <c r="D5" s="4">
        <v>100.0</v>
      </c>
      <c r="E5" s="4">
        <v>91.0</v>
      </c>
      <c r="F5" s="4">
        <v>1.0</v>
      </c>
      <c r="G5" s="3" t="s">
        <v>21</v>
      </c>
      <c r="H5" s="5" t="s">
        <v>29</v>
      </c>
      <c r="I5" s="5" t="s">
        <v>23</v>
      </c>
      <c r="J5" s="5" t="s">
        <v>24</v>
      </c>
      <c r="K5" s="4">
        <v>1.0</v>
      </c>
      <c r="L5" s="6"/>
      <c r="M5" s="4">
        <v>1.0</v>
      </c>
      <c r="N5" s="5">
        <v>18.0</v>
      </c>
      <c r="O5" s="4">
        <v>2.0</v>
      </c>
      <c r="P5" s="4">
        <v>8.0</v>
      </c>
      <c r="Q5" s="4">
        <v>-2.0</v>
      </c>
      <c r="R5" s="6"/>
      <c r="S5" s="6"/>
      <c r="T5" s="4">
        <v>1.0</v>
      </c>
      <c r="U5" s="5" t="s">
        <v>30</v>
      </c>
    </row>
    <row r="6">
      <c r="A6" s="3" t="s">
        <v>21</v>
      </c>
      <c r="B6" s="3" t="s">
        <v>21</v>
      </c>
      <c r="C6" s="4">
        <v>0.0</v>
      </c>
      <c r="D6" s="4">
        <v>100.0</v>
      </c>
      <c r="E6" s="4">
        <v>100.0</v>
      </c>
      <c r="F6" s="4">
        <v>1.0</v>
      </c>
      <c r="G6" s="3" t="s">
        <v>21</v>
      </c>
      <c r="H6" s="5" t="s">
        <v>31</v>
      </c>
      <c r="I6" s="5" t="s">
        <v>23</v>
      </c>
      <c r="J6" s="5" t="s">
        <v>24</v>
      </c>
      <c r="K6" s="4">
        <v>0.9</v>
      </c>
      <c r="L6" s="6"/>
      <c r="M6" s="4">
        <v>1.0</v>
      </c>
      <c r="N6" s="5">
        <v>18.0</v>
      </c>
      <c r="O6" s="4">
        <v>2.0</v>
      </c>
      <c r="P6" s="6"/>
      <c r="Q6" s="6"/>
      <c r="R6" s="4">
        <v>10.0</v>
      </c>
      <c r="S6" s="4">
        <v>-4.0</v>
      </c>
      <c r="T6" s="4">
        <v>1.0</v>
      </c>
      <c r="U6" s="5" t="s">
        <v>32</v>
      </c>
    </row>
    <row r="7">
      <c r="A7" s="3" t="s">
        <v>21</v>
      </c>
      <c r="B7" s="3" t="s">
        <v>21</v>
      </c>
      <c r="C7" s="4">
        <v>0.0</v>
      </c>
      <c r="D7" s="4">
        <v>100.0</v>
      </c>
      <c r="E7" s="4">
        <v>91.0</v>
      </c>
      <c r="F7" s="4">
        <v>1.0</v>
      </c>
      <c r="G7" s="3" t="s">
        <v>21</v>
      </c>
      <c r="H7" s="5" t="s">
        <v>33</v>
      </c>
      <c r="I7" s="5" t="s">
        <v>23</v>
      </c>
      <c r="J7" s="5" t="s">
        <v>24</v>
      </c>
      <c r="K7" s="4">
        <v>1.0</v>
      </c>
      <c r="L7" s="6"/>
      <c r="M7" s="4">
        <v>1.0</v>
      </c>
      <c r="N7" s="5">
        <v>21.0</v>
      </c>
      <c r="O7" s="4">
        <v>2.0</v>
      </c>
      <c r="P7" s="6"/>
      <c r="Q7" s="6"/>
      <c r="R7" s="4">
        <v>10.0</v>
      </c>
      <c r="S7" s="4">
        <v>-5.0</v>
      </c>
      <c r="T7" s="4">
        <v>1.0</v>
      </c>
      <c r="U7" s="5" t="s">
        <v>34</v>
      </c>
    </row>
    <row r="8">
      <c r="A8" s="3" t="s">
        <v>21</v>
      </c>
      <c r="B8" s="3" t="s">
        <v>21</v>
      </c>
      <c r="C8" s="4">
        <v>0.0</v>
      </c>
      <c r="D8" s="4">
        <v>100.0</v>
      </c>
      <c r="E8" s="4">
        <v>58.0</v>
      </c>
      <c r="F8" s="4">
        <v>1.0</v>
      </c>
      <c r="G8" s="3" t="s">
        <v>21</v>
      </c>
      <c r="H8" s="5" t="s">
        <v>35</v>
      </c>
      <c r="I8" s="5" t="s">
        <v>23</v>
      </c>
      <c r="J8" s="5" t="s">
        <v>24</v>
      </c>
      <c r="K8" s="4">
        <v>0.6</v>
      </c>
      <c r="L8" s="6"/>
      <c r="M8" s="4">
        <v>1.0</v>
      </c>
      <c r="N8" s="5">
        <v>18.0</v>
      </c>
      <c r="O8" s="4">
        <v>2.0</v>
      </c>
      <c r="P8" s="4">
        <v>9.0</v>
      </c>
      <c r="Q8" s="4">
        <v>-5.0</v>
      </c>
      <c r="R8" s="6"/>
      <c r="S8" s="6"/>
      <c r="T8" s="4">
        <v>1.0</v>
      </c>
      <c r="U8" s="6"/>
    </row>
    <row r="9">
      <c r="A9" s="3" t="s">
        <v>21</v>
      </c>
      <c r="B9" s="3" t="s">
        <v>21</v>
      </c>
      <c r="C9" s="4">
        <v>0.0</v>
      </c>
      <c r="D9" s="4">
        <v>100.0</v>
      </c>
      <c r="E9" s="4">
        <v>149.0</v>
      </c>
      <c r="F9" s="4">
        <v>1.0</v>
      </c>
      <c r="G9" s="3" t="s">
        <v>21</v>
      </c>
      <c r="H9" s="5" t="s">
        <v>36</v>
      </c>
      <c r="I9" s="5" t="s">
        <v>23</v>
      </c>
      <c r="J9" s="5" t="s">
        <v>24</v>
      </c>
      <c r="K9" s="4">
        <v>0.7</v>
      </c>
      <c r="L9" s="6"/>
      <c r="M9" s="4">
        <v>1.0</v>
      </c>
      <c r="N9" s="5">
        <v>18.0</v>
      </c>
      <c r="O9" s="4">
        <v>2.0</v>
      </c>
      <c r="P9" s="4">
        <v>4.0</v>
      </c>
      <c r="Q9" s="4">
        <v>-2.0</v>
      </c>
      <c r="R9" s="6"/>
      <c r="S9" s="6"/>
      <c r="T9" s="4">
        <v>1.0</v>
      </c>
      <c r="U9" s="5" t="s">
        <v>37</v>
      </c>
    </row>
    <row r="10">
      <c r="A10" s="3" t="s">
        <v>21</v>
      </c>
      <c r="B10" s="3" t="s">
        <v>21</v>
      </c>
      <c r="C10" s="4">
        <v>0.0</v>
      </c>
      <c r="D10" s="4">
        <v>100.0</v>
      </c>
      <c r="E10" s="4">
        <v>56.0</v>
      </c>
      <c r="F10" s="4">
        <v>1.0</v>
      </c>
      <c r="G10" s="3" t="s">
        <v>21</v>
      </c>
      <c r="H10" s="5" t="s">
        <v>38</v>
      </c>
      <c r="I10" s="5" t="s">
        <v>23</v>
      </c>
      <c r="J10" s="5" t="s">
        <v>24</v>
      </c>
      <c r="K10" s="4">
        <v>1.0</v>
      </c>
      <c r="L10" s="6"/>
      <c r="M10" s="4">
        <v>1.0</v>
      </c>
      <c r="N10" s="5">
        <v>18.0</v>
      </c>
      <c r="O10" s="4">
        <v>2.0</v>
      </c>
      <c r="P10" s="6"/>
      <c r="Q10" s="6"/>
      <c r="R10" s="4">
        <v>10.0</v>
      </c>
      <c r="S10" s="4">
        <v>-4.0</v>
      </c>
      <c r="T10" s="4">
        <v>1.0</v>
      </c>
      <c r="U10" s="6"/>
    </row>
    <row r="11">
      <c r="A11" s="3" t="s">
        <v>21</v>
      </c>
      <c r="B11" s="3" t="s">
        <v>21</v>
      </c>
      <c r="C11" s="4">
        <v>0.0</v>
      </c>
      <c r="D11" s="4">
        <v>100.0</v>
      </c>
      <c r="E11" s="4">
        <v>217.0</v>
      </c>
      <c r="F11" s="4">
        <v>1.0</v>
      </c>
      <c r="G11" s="3" t="s">
        <v>21</v>
      </c>
      <c r="H11" s="5" t="s">
        <v>39</v>
      </c>
      <c r="I11" s="5" t="s">
        <v>23</v>
      </c>
      <c r="J11" s="5" t="s">
        <v>24</v>
      </c>
      <c r="K11" s="4">
        <v>1.0</v>
      </c>
      <c r="L11" s="6"/>
      <c r="M11" s="4">
        <v>1.0</v>
      </c>
      <c r="N11" s="5">
        <v>20.0</v>
      </c>
      <c r="O11" s="4">
        <v>2.0</v>
      </c>
      <c r="P11" s="6"/>
      <c r="Q11" s="6"/>
      <c r="R11" s="4">
        <v>8.0</v>
      </c>
      <c r="S11" s="4">
        <v>-2.0</v>
      </c>
      <c r="T11" s="4">
        <v>1.0</v>
      </c>
      <c r="U11" s="5" t="s">
        <v>40</v>
      </c>
    </row>
    <row r="12">
      <c r="A12" s="3" t="s">
        <v>21</v>
      </c>
      <c r="B12" s="3" t="s">
        <v>21</v>
      </c>
      <c r="C12" s="4">
        <v>0.0</v>
      </c>
      <c r="D12" s="4">
        <v>100.0</v>
      </c>
      <c r="E12" s="4">
        <v>128.0</v>
      </c>
      <c r="F12" s="4">
        <v>1.0</v>
      </c>
      <c r="G12" s="3" t="s">
        <v>21</v>
      </c>
      <c r="H12" s="5" t="s">
        <v>41</v>
      </c>
      <c r="I12" s="5" t="s">
        <v>23</v>
      </c>
      <c r="J12" s="5" t="s">
        <v>24</v>
      </c>
      <c r="K12" s="4">
        <v>0.9</v>
      </c>
      <c r="L12" s="6"/>
      <c r="M12" s="4">
        <v>1.0</v>
      </c>
      <c r="N12" s="5">
        <v>18.0</v>
      </c>
      <c r="O12" s="4">
        <v>2.0</v>
      </c>
      <c r="P12" s="4">
        <v>8.0</v>
      </c>
      <c r="Q12" s="4">
        <v>-4.0</v>
      </c>
      <c r="R12" s="6"/>
      <c r="S12" s="6"/>
      <c r="T12" s="4">
        <v>1.0</v>
      </c>
      <c r="U12" s="5" t="s">
        <v>42</v>
      </c>
    </row>
    <row r="13">
      <c r="A13" s="3" t="s">
        <v>21</v>
      </c>
      <c r="B13" s="3" t="s">
        <v>21</v>
      </c>
      <c r="C13" s="4">
        <v>0.0</v>
      </c>
      <c r="D13" s="4">
        <v>100.0</v>
      </c>
      <c r="E13" s="4">
        <v>126.0</v>
      </c>
      <c r="F13" s="4">
        <v>1.0</v>
      </c>
      <c r="G13" s="3" t="s">
        <v>21</v>
      </c>
      <c r="H13" s="5" t="s">
        <v>43</v>
      </c>
      <c r="I13" s="5" t="s">
        <v>23</v>
      </c>
      <c r="J13" s="5" t="s">
        <v>24</v>
      </c>
      <c r="K13" s="4">
        <v>0.9</v>
      </c>
      <c r="L13" s="6"/>
      <c r="M13" s="4">
        <v>1.0</v>
      </c>
      <c r="N13" s="5">
        <v>18.0</v>
      </c>
      <c r="O13" s="4">
        <v>2.0</v>
      </c>
      <c r="P13" s="4">
        <v>6.0</v>
      </c>
      <c r="Q13" s="4">
        <v>0.0</v>
      </c>
      <c r="R13" s="6"/>
      <c r="S13" s="6"/>
      <c r="T13" s="4">
        <v>1.0</v>
      </c>
      <c r="U13" s="5" t="s">
        <v>44</v>
      </c>
    </row>
    <row r="14">
      <c r="A14" s="3" t="s">
        <v>21</v>
      </c>
      <c r="B14" s="3" t="s">
        <v>21</v>
      </c>
      <c r="C14" s="4">
        <v>0.0</v>
      </c>
      <c r="D14" s="4">
        <v>100.0</v>
      </c>
      <c r="E14" s="4">
        <v>96.0</v>
      </c>
      <c r="F14" s="4">
        <v>1.0</v>
      </c>
      <c r="G14" s="3" t="s">
        <v>21</v>
      </c>
      <c r="H14" s="5" t="s">
        <v>45</v>
      </c>
      <c r="I14" s="5" t="s">
        <v>23</v>
      </c>
      <c r="J14" s="5" t="s">
        <v>24</v>
      </c>
      <c r="K14" s="4">
        <v>1.0</v>
      </c>
      <c r="L14" s="6"/>
      <c r="M14" s="4">
        <v>1.0</v>
      </c>
      <c r="N14" s="5" t="s">
        <v>46</v>
      </c>
      <c r="O14" s="4">
        <v>2.0</v>
      </c>
      <c r="P14" s="6"/>
      <c r="Q14" s="6"/>
      <c r="R14" s="4">
        <v>10.0</v>
      </c>
      <c r="S14" s="4">
        <v>-2.0</v>
      </c>
      <c r="T14" s="4">
        <v>1.0</v>
      </c>
      <c r="U14" s="5" t="s">
        <v>47</v>
      </c>
    </row>
    <row r="15">
      <c r="A15" s="3" t="s">
        <v>21</v>
      </c>
      <c r="B15" s="3" t="s">
        <v>21</v>
      </c>
      <c r="C15" s="4">
        <v>0.0</v>
      </c>
      <c r="D15" s="4">
        <v>100.0</v>
      </c>
      <c r="E15" s="4">
        <v>167.0</v>
      </c>
      <c r="F15" s="4">
        <v>1.0</v>
      </c>
      <c r="G15" s="3" t="s">
        <v>21</v>
      </c>
      <c r="H15" s="5" t="s">
        <v>48</v>
      </c>
      <c r="I15" s="5" t="s">
        <v>23</v>
      </c>
      <c r="J15" s="5" t="s">
        <v>24</v>
      </c>
      <c r="K15" s="4">
        <v>0.7</v>
      </c>
      <c r="L15" s="6"/>
      <c r="M15" s="4">
        <v>1.0</v>
      </c>
      <c r="N15" s="5">
        <v>21.0</v>
      </c>
      <c r="O15" s="4">
        <v>1.0</v>
      </c>
      <c r="P15" s="4">
        <v>10.0</v>
      </c>
      <c r="Q15" s="4">
        <v>-5.0</v>
      </c>
      <c r="R15" s="6"/>
      <c r="S15" s="6"/>
      <c r="T15" s="4">
        <v>1.0</v>
      </c>
      <c r="U15" s="5" t="s">
        <v>49</v>
      </c>
    </row>
    <row r="16">
      <c r="A16" s="3" t="s">
        <v>21</v>
      </c>
      <c r="B16" s="3" t="s">
        <v>21</v>
      </c>
      <c r="C16" s="4">
        <v>0.0</v>
      </c>
      <c r="D16" s="4">
        <v>100.0</v>
      </c>
      <c r="E16" s="4">
        <v>24633.0</v>
      </c>
      <c r="F16" s="4">
        <v>1.0</v>
      </c>
      <c r="G16" s="3" t="s">
        <v>21</v>
      </c>
      <c r="H16" s="5" t="s">
        <v>50</v>
      </c>
      <c r="I16" s="5" t="s">
        <v>23</v>
      </c>
      <c r="J16" s="5" t="s">
        <v>24</v>
      </c>
      <c r="K16" s="4">
        <v>1.0</v>
      </c>
      <c r="L16" s="6"/>
      <c r="M16" s="4">
        <v>1.0</v>
      </c>
      <c r="N16" s="5">
        <v>18.0</v>
      </c>
      <c r="O16" s="4">
        <v>2.0</v>
      </c>
      <c r="P16" s="6"/>
      <c r="Q16" s="6"/>
      <c r="R16" s="4">
        <v>10.0</v>
      </c>
      <c r="S16" s="4">
        <v>-5.0</v>
      </c>
      <c r="T16" s="4">
        <v>1.0</v>
      </c>
      <c r="U16" s="5" t="s">
        <v>51</v>
      </c>
    </row>
    <row r="17">
      <c r="A17" s="3" t="s">
        <v>21</v>
      </c>
      <c r="B17" s="3" t="s">
        <v>21</v>
      </c>
      <c r="C17" s="4">
        <v>0.0</v>
      </c>
      <c r="D17" s="4">
        <v>100.0</v>
      </c>
      <c r="E17" s="4">
        <v>95.0</v>
      </c>
      <c r="F17" s="4">
        <v>1.0</v>
      </c>
      <c r="G17" s="3" t="s">
        <v>21</v>
      </c>
      <c r="H17" s="5" t="s">
        <v>52</v>
      </c>
      <c r="I17" s="5" t="s">
        <v>23</v>
      </c>
      <c r="J17" s="5" t="s">
        <v>24</v>
      </c>
      <c r="K17" s="4">
        <v>1.0</v>
      </c>
      <c r="L17" s="6"/>
      <c r="M17" s="4">
        <v>1.0</v>
      </c>
      <c r="N17" s="5">
        <v>18.0</v>
      </c>
      <c r="O17" s="4">
        <v>1.0</v>
      </c>
      <c r="P17" s="6"/>
      <c r="Q17" s="6"/>
      <c r="R17" s="4">
        <v>6.0</v>
      </c>
      <c r="S17" s="4">
        <v>0.0</v>
      </c>
      <c r="T17" s="4">
        <v>1.0</v>
      </c>
      <c r="U17" s="5" t="s">
        <v>53</v>
      </c>
    </row>
    <row r="18">
      <c r="A18" s="3" t="s">
        <v>21</v>
      </c>
      <c r="B18" s="3" t="s">
        <v>21</v>
      </c>
      <c r="C18" s="4">
        <v>0.0</v>
      </c>
      <c r="D18" s="4">
        <v>100.0</v>
      </c>
      <c r="E18" s="4">
        <v>205.0</v>
      </c>
      <c r="F18" s="4">
        <v>1.0</v>
      </c>
      <c r="G18" s="3" t="s">
        <v>21</v>
      </c>
      <c r="H18" s="5" t="s">
        <v>54</v>
      </c>
      <c r="I18" s="5" t="s">
        <v>23</v>
      </c>
      <c r="J18" s="5" t="s">
        <v>24</v>
      </c>
      <c r="K18" s="4">
        <v>1.0</v>
      </c>
      <c r="L18" s="6"/>
      <c r="M18" s="4">
        <v>1.0</v>
      </c>
      <c r="N18" s="5">
        <v>17.0</v>
      </c>
      <c r="O18" s="4">
        <v>1.0</v>
      </c>
      <c r="P18" s="6"/>
      <c r="Q18" s="6"/>
      <c r="R18" s="4">
        <v>10.0</v>
      </c>
      <c r="S18" s="4">
        <v>0.0</v>
      </c>
      <c r="T18" s="4">
        <v>1.0</v>
      </c>
      <c r="U18" s="5" t="s">
        <v>55</v>
      </c>
    </row>
    <row r="19">
      <c r="A19" s="3" t="s">
        <v>21</v>
      </c>
      <c r="B19" s="3" t="s">
        <v>21</v>
      </c>
      <c r="C19" s="4">
        <v>0.0</v>
      </c>
      <c r="D19" s="4">
        <v>100.0</v>
      </c>
      <c r="E19" s="4">
        <v>148.0</v>
      </c>
      <c r="F19" s="4">
        <v>1.0</v>
      </c>
      <c r="G19" s="3" t="s">
        <v>21</v>
      </c>
      <c r="H19" s="5" t="s">
        <v>56</v>
      </c>
      <c r="I19" s="5" t="s">
        <v>23</v>
      </c>
      <c r="J19" s="5" t="s">
        <v>24</v>
      </c>
      <c r="K19" s="4">
        <v>1.0</v>
      </c>
      <c r="L19" s="6"/>
      <c r="M19" s="4">
        <v>1.0</v>
      </c>
      <c r="N19" s="5">
        <v>21.0</v>
      </c>
      <c r="O19" s="4">
        <v>2.0</v>
      </c>
      <c r="P19" s="6"/>
      <c r="Q19" s="6"/>
      <c r="R19" s="4">
        <v>10.0</v>
      </c>
      <c r="S19" s="4">
        <v>-3.0</v>
      </c>
      <c r="T19" s="4">
        <v>1.0</v>
      </c>
      <c r="U19" s="5" t="s">
        <v>57</v>
      </c>
    </row>
    <row r="20">
      <c r="A20" s="3" t="s">
        <v>21</v>
      </c>
      <c r="B20" s="3" t="s">
        <v>21</v>
      </c>
      <c r="C20" s="4">
        <v>0.0</v>
      </c>
      <c r="D20" s="4">
        <v>100.0</v>
      </c>
      <c r="E20" s="4">
        <v>115.0</v>
      </c>
      <c r="F20" s="4">
        <v>1.0</v>
      </c>
      <c r="G20" s="3" t="s">
        <v>21</v>
      </c>
      <c r="H20" s="5" t="s">
        <v>58</v>
      </c>
      <c r="I20" s="5" t="s">
        <v>23</v>
      </c>
      <c r="J20" s="5" t="s">
        <v>24</v>
      </c>
      <c r="K20" s="4">
        <v>1.0</v>
      </c>
      <c r="L20" s="6"/>
      <c r="M20" s="4">
        <v>1.0</v>
      </c>
      <c r="N20" s="5">
        <v>19.0</v>
      </c>
      <c r="O20" s="4">
        <v>2.0</v>
      </c>
      <c r="P20" s="4">
        <v>8.0</v>
      </c>
      <c r="Q20" s="4">
        <v>-4.0</v>
      </c>
      <c r="R20" s="6"/>
      <c r="S20" s="6"/>
      <c r="T20" s="4">
        <v>1.0</v>
      </c>
      <c r="U20" s="5" t="s">
        <v>59</v>
      </c>
    </row>
    <row r="21">
      <c r="A21" s="3" t="s">
        <v>21</v>
      </c>
      <c r="B21" s="3" t="s">
        <v>21</v>
      </c>
      <c r="C21" s="4">
        <v>0.0</v>
      </c>
      <c r="D21" s="4">
        <v>100.0</v>
      </c>
      <c r="E21" s="4">
        <v>189.0</v>
      </c>
      <c r="F21" s="4">
        <v>1.0</v>
      </c>
      <c r="G21" s="3" t="s">
        <v>21</v>
      </c>
      <c r="H21" s="5" t="s">
        <v>60</v>
      </c>
      <c r="I21" s="5" t="s">
        <v>23</v>
      </c>
      <c r="J21" s="5" t="s">
        <v>24</v>
      </c>
      <c r="K21" s="4">
        <v>1.0</v>
      </c>
      <c r="L21" s="6"/>
      <c r="M21" s="4">
        <v>1.0</v>
      </c>
      <c r="N21" s="5">
        <v>21.0</v>
      </c>
      <c r="O21" s="4">
        <v>2.0</v>
      </c>
      <c r="P21" s="6"/>
      <c r="Q21" s="6"/>
      <c r="R21" s="4">
        <v>10.0</v>
      </c>
      <c r="S21" s="4">
        <v>-2.0</v>
      </c>
      <c r="T21" s="4">
        <v>1.0</v>
      </c>
      <c r="U21" s="5" t="s">
        <v>61</v>
      </c>
    </row>
    <row r="22">
      <c r="A22" s="3" t="s">
        <v>21</v>
      </c>
      <c r="B22" s="3" t="s">
        <v>21</v>
      </c>
      <c r="C22" s="4">
        <v>0.0</v>
      </c>
      <c r="D22" s="4">
        <v>100.0</v>
      </c>
      <c r="E22" s="4">
        <v>99.0</v>
      </c>
      <c r="F22" s="4">
        <v>1.0</v>
      </c>
      <c r="G22" s="3" t="s">
        <v>21</v>
      </c>
      <c r="H22" s="5" t="s">
        <v>62</v>
      </c>
      <c r="I22" s="5" t="s">
        <v>23</v>
      </c>
      <c r="J22" s="5" t="s">
        <v>24</v>
      </c>
      <c r="K22" s="4">
        <v>0.9</v>
      </c>
      <c r="L22" s="6"/>
      <c r="M22" s="4">
        <v>1.0</v>
      </c>
      <c r="N22" s="5">
        <v>18.0</v>
      </c>
      <c r="O22" s="4">
        <v>2.0</v>
      </c>
      <c r="P22" s="4">
        <v>9.0</v>
      </c>
      <c r="Q22" s="4">
        <v>-4.0</v>
      </c>
      <c r="R22" s="6"/>
      <c r="S22" s="6"/>
      <c r="T22" s="4">
        <v>1.0</v>
      </c>
      <c r="U22" s="5" t="s">
        <v>63</v>
      </c>
    </row>
    <row r="23">
      <c r="A23" s="3" t="s">
        <v>21</v>
      </c>
      <c r="B23" s="3" t="s">
        <v>21</v>
      </c>
      <c r="C23" s="4">
        <v>0.0</v>
      </c>
      <c r="D23" s="4">
        <v>100.0</v>
      </c>
      <c r="E23" s="4">
        <v>173.0</v>
      </c>
      <c r="F23" s="4">
        <v>1.0</v>
      </c>
      <c r="G23" s="3" t="s">
        <v>21</v>
      </c>
      <c r="H23" s="5" t="s">
        <v>64</v>
      </c>
      <c r="I23" s="5" t="s">
        <v>23</v>
      </c>
      <c r="J23" s="5" t="s">
        <v>24</v>
      </c>
      <c r="K23" s="4">
        <v>1.0</v>
      </c>
      <c r="L23" s="6"/>
      <c r="M23" s="4">
        <v>1.0</v>
      </c>
      <c r="N23" s="5">
        <v>24.0</v>
      </c>
      <c r="O23" s="4">
        <v>1.0</v>
      </c>
      <c r="P23" s="6"/>
      <c r="Q23" s="6"/>
      <c r="R23" s="4">
        <v>8.0</v>
      </c>
      <c r="S23" s="4">
        <v>-3.0</v>
      </c>
      <c r="T23" s="4">
        <v>1.0</v>
      </c>
      <c r="U23" s="5" t="s">
        <v>65</v>
      </c>
    </row>
    <row r="24">
      <c r="A24" s="3" t="s">
        <v>21</v>
      </c>
      <c r="B24" s="3" t="s">
        <v>21</v>
      </c>
      <c r="C24" s="4">
        <v>0.0</v>
      </c>
      <c r="D24" s="4">
        <v>100.0</v>
      </c>
      <c r="E24" s="4">
        <v>123.0</v>
      </c>
      <c r="F24" s="4">
        <v>1.0</v>
      </c>
      <c r="G24" s="3" t="s">
        <v>21</v>
      </c>
      <c r="H24" s="5" t="s">
        <v>66</v>
      </c>
      <c r="I24" s="5" t="s">
        <v>23</v>
      </c>
      <c r="J24" s="5" t="s">
        <v>24</v>
      </c>
      <c r="K24" s="4">
        <v>0.8</v>
      </c>
      <c r="L24" s="6"/>
      <c r="M24" s="4">
        <v>1.0</v>
      </c>
      <c r="N24" s="5">
        <v>18.0</v>
      </c>
      <c r="O24" s="4">
        <v>2.0</v>
      </c>
      <c r="P24" s="4">
        <v>9.0</v>
      </c>
      <c r="Q24" s="4">
        <v>-5.0</v>
      </c>
      <c r="R24" s="6"/>
      <c r="S24" s="6"/>
      <c r="T24" s="4">
        <v>1.0</v>
      </c>
      <c r="U24" s="5" t="s">
        <v>67</v>
      </c>
    </row>
    <row r="25">
      <c r="A25" s="3" t="s">
        <v>21</v>
      </c>
      <c r="B25" s="3" t="s">
        <v>21</v>
      </c>
      <c r="C25" s="4">
        <v>0.0</v>
      </c>
      <c r="D25" s="4">
        <v>100.0</v>
      </c>
      <c r="E25" s="4">
        <v>47.0</v>
      </c>
      <c r="F25" s="4">
        <v>1.0</v>
      </c>
      <c r="G25" s="3" t="s">
        <v>21</v>
      </c>
      <c r="H25" s="5" t="s">
        <v>68</v>
      </c>
      <c r="I25" s="5" t="s">
        <v>23</v>
      </c>
      <c r="J25" s="5" t="s">
        <v>24</v>
      </c>
      <c r="K25" s="4">
        <v>1.0</v>
      </c>
      <c r="L25" s="6"/>
      <c r="M25" s="4">
        <v>1.0</v>
      </c>
      <c r="N25" s="5">
        <v>19.0</v>
      </c>
      <c r="O25" s="4">
        <v>1.0</v>
      </c>
      <c r="P25" s="6"/>
      <c r="Q25" s="6"/>
      <c r="R25" s="4">
        <v>10.0</v>
      </c>
      <c r="S25" s="4">
        <v>-3.0</v>
      </c>
      <c r="T25" s="4">
        <v>1.0</v>
      </c>
      <c r="U25" s="5" t="s">
        <v>69</v>
      </c>
    </row>
    <row r="26">
      <c r="A26" s="3" t="s">
        <v>21</v>
      </c>
      <c r="B26" s="3" t="s">
        <v>21</v>
      </c>
      <c r="C26" s="4">
        <v>0.0</v>
      </c>
      <c r="D26" s="4">
        <v>100.0</v>
      </c>
      <c r="E26" s="4">
        <v>176.0</v>
      </c>
      <c r="F26" s="4">
        <v>1.0</v>
      </c>
      <c r="G26" s="3" t="s">
        <v>21</v>
      </c>
      <c r="H26" s="5" t="s">
        <v>70</v>
      </c>
      <c r="I26" s="5" t="s">
        <v>23</v>
      </c>
      <c r="J26" s="5" t="s">
        <v>24</v>
      </c>
      <c r="K26" s="4">
        <v>0.9</v>
      </c>
      <c r="L26" s="6"/>
      <c r="M26" s="4">
        <v>1.0</v>
      </c>
      <c r="N26" s="5">
        <v>18.0</v>
      </c>
      <c r="O26" s="4">
        <v>1.0</v>
      </c>
      <c r="P26" s="4">
        <v>6.0</v>
      </c>
      <c r="Q26" s="4">
        <v>-1.0</v>
      </c>
      <c r="R26" s="6"/>
      <c r="S26" s="6"/>
      <c r="T26" s="4">
        <v>1.0</v>
      </c>
      <c r="U26" s="5" t="s">
        <v>71</v>
      </c>
    </row>
    <row r="27">
      <c r="A27" s="3" t="s">
        <v>21</v>
      </c>
      <c r="B27" s="3" t="s">
        <v>21</v>
      </c>
      <c r="C27" s="4">
        <v>0.0</v>
      </c>
      <c r="D27" s="4">
        <v>100.0</v>
      </c>
      <c r="E27" s="4">
        <v>65.0</v>
      </c>
      <c r="F27" s="4">
        <v>1.0</v>
      </c>
      <c r="G27" s="3" t="s">
        <v>21</v>
      </c>
      <c r="H27" s="5" t="s">
        <v>72</v>
      </c>
      <c r="I27" s="5" t="s">
        <v>23</v>
      </c>
      <c r="J27" s="5" t="s">
        <v>24</v>
      </c>
      <c r="K27" s="4">
        <v>0.9</v>
      </c>
      <c r="L27" s="6"/>
      <c r="M27" s="4">
        <v>1.0</v>
      </c>
      <c r="N27" s="5">
        <v>18.0</v>
      </c>
      <c r="O27" s="4">
        <v>4.0</v>
      </c>
      <c r="P27" s="4">
        <v>1.0</v>
      </c>
      <c r="Q27" s="4">
        <v>5.0</v>
      </c>
      <c r="R27" s="6"/>
      <c r="S27" s="6"/>
      <c r="T27" s="4">
        <v>1.0</v>
      </c>
      <c r="U27" s="5" t="s">
        <v>73</v>
      </c>
    </row>
    <row r="28">
      <c r="A28" s="3" t="s">
        <v>21</v>
      </c>
      <c r="B28" s="3" t="s">
        <v>21</v>
      </c>
      <c r="C28" s="4">
        <v>0.0</v>
      </c>
      <c r="D28" s="4">
        <v>100.0</v>
      </c>
      <c r="E28" s="4">
        <v>450.0</v>
      </c>
      <c r="F28" s="4">
        <v>1.0</v>
      </c>
      <c r="G28" s="3" t="s">
        <v>21</v>
      </c>
      <c r="H28" s="5" t="s">
        <v>74</v>
      </c>
      <c r="I28" s="5" t="s">
        <v>23</v>
      </c>
      <c r="J28" s="5" t="s">
        <v>24</v>
      </c>
      <c r="K28" s="4">
        <v>1.0</v>
      </c>
      <c r="L28" s="6"/>
      <c r="M28" s="4">
        <v>1.0</v>
      </c>
      <c r="N28" s="5">
        <v>19.0</v>
      </c>
      <c r="O28" s="4">
        <v>1.0</v>
      </c>
      <c r="P28" s="6"/>
      <c r="Q28" s="6"/>
      <c r="R28" s="4">
        <v>10.0</v>
      </c>
      <c r="S28" s="4">
        <v>-5.0</v>
      </c>
      <c r="T28" s="4">
        <v>1.0</v>
      </c>
      <c r="U28" s="5" t="s">
        <v>75</v>
      </c>
    </row>
    <row r="29">
      <c r="A29" s="3" t="s">
        <v>21</v>
      </c>
      <c r="B29" s="3" t="s">
        <v>21</v>
      </c>
      <c r="C29" s="4">
        <v>0.0</v>
      </c>
      <c r="D29" s="4">
        <v>100.0</v>
      </c>
      <c r="E29" s="4">
        <v>129.0</v>
      </c>
      <c r="F29" s="4">
        <v>1.0</v>
      </c>
      <c r="G29" s="3" t="s">
        <v>21</v>
      </c>
      <c r="H29" s="5" t="s">
        <v>76</v>
      </c>
      <c r="I29" s="5" t="s">
        <v>23</v>
      </c>
      <c r="J29" s="5" t="s">
        <v>24</v>
      </c>
      <c r="K29" s="4">
        <v>1.0</v>
      </c>
      <c r="L29" s="6"/>
      <c r="M29" s="4">
        <v>1.0</v>
      </c>
      <c r="N29" s="5">
        <v>18.0</v>
      </c>
      <c r="O29" s="4">
        <v>2.0</v>
      </c>
      <c r="P29" s="4">
        <v>8.0</v>
      </c>
      <c r="Q29" s="4">
        <v>0.0</v>
      </c>
      <c r="R29" s="6"/>
      <c r="S29" s="6"/>
      <c r="T29" s="4">
        <v>1.0</v>
      </c>
      <c r="U29" s="5" t="s">
        <v>77</v>
      </c>
    </row>
    <row r="30">
      <c r="A30" s="3" t="s">
        <v>21</v>
      </c>
      <c r="B30" s="3" t="s">
        <v>21</v>
      </c>
      <c r="C30" s="4">
        <v>0.0</v>
      </c>
      <c r="D30" s="4">
        <v>100.0</v>
      </c>
      <c r="E30" s="4">
        <v>52.0</v>
      </c>
      <c r="F30" s="4">
        <v>1.0</v>
      </c>
      <c r="G30" s="3" t="s">
        <v>21</v>
      </c>
      <c r="H30" s="5" t="s">
        <v>78</v>
      </c>
      <c r="I30" s="5" t="s">
        <v>23</v>
      </c>
      <c r="J30" s="5" t="s">
        <v>24</v>
      </c>
      <c r="K30" s="4">
        <v>0.9</v>
      </c>
      <c r="L30" s="6"/>
      <c r="M30" s="4">
        <v>1.0</v>
      </c>
      <c r="N30" s="5">
        <v>18.0</v>
      </c>
      <c r="O30" s="4">
        <v>1.0</v>
      </c>
      <c r="P30" s="6"/>
      <c r="Q30" s="6"/>
      <c r="R30" s="4">
        <v>6.0</v>
      </c>
      <c r="S30" s="4">
        <v>-1.0</v>
      </c>
      <c r="T30" s="4">
        <v>1.0</v>
      </c>
      <c r="U30" s="5" t="s">
        <v>79</v>
      </c>
    </row>
    <row r="31">
      <c r="A31" s="3" t="s">
        <v>21</v>
      </c>
      <c r="B31" s="3" t="s">
        <v>21</v>
      </c>
      <c r="C31" s="4">
        <v>0.0</v>
      </c>
      <c r="D31" s="4">
        <v>100.0</v>
      </c>
      <c r="E31" s="4">
        <v>180.0</v>
      </c>
      <c r="F31" s="4">
        <v>1.0</v>
      </c>
      <c r="G31" s="3" t="s">
        <v>21</v>
      </c>
      <c r="H31" s="5" t="s">
        <v>80</v>
      </c>
      <c r="I31" s="5" t="s">
        <v>23</v>
      </c>
      <c r="J31" s="5" t="s">
        <v>24</v>
      </c>
      <c r="K31" s="4">
        <v>1.0</v>
      </c>
      <c r="L31" s="6"/>
      <c r="M31" s="4">
        <v>1.0</v>
      </c>
      <c r="N31" s="5">
        <v>19.0</v>
      </c>
      <c r="O31" s="4">
        <v>2.0</v>
      </c>
      <c r="P31" s="6"/>
      <c r="Q31" s="6"/>
      <c r="R31" s="4">
        <v>10.0</v>
      </c>
      <c r="S31" s="4">
        <v>-3.0</v>
      </c>
      <c r="T31" s="4">
        <v>1.0</v>
      </c>
      <c r="U31" s="5" t="s">
        <v>81</v>
      </c>
    </row>
    <row r="32">
      <c r="A32" s="3" t="s">
        <v>21</v>
      </c>
      <c r="B32" s="3" t="s">
        <v>21</v>
      </c>
      <c r="C32" s="4">
        <v>0.0</v>
      </c>
      <c r="D32" s="4">
        <v>100.0</v>
      </c>
      <c r="E32" s="4">
        <v>85.0</v>
      </c>
      <c r="F32" s="4">
        <v>1.0</v>
      </c>
      <c r="G32" s="3" t="s">
        <v>21</v>
      </c>
      <c r="H32" s="5" t="s">
        <v>82</v>
      </c>
      <c r="I32" s="5" t="s">
        <v>23</v>
      </c>
      <c r="J32" s="5" t="s">
        <v>24</v>
      </c>
      <c r="K32" s="4">
        <v>1.0</v>
      </c>
      <c r="L32" s="6"/>
      <c r="M32" s="4">
        <v>1.0</v>
      </c>
      <c r="N32" s="5">
        <v>19.0</v>
      </c>
      <c r="O32" s="4">
        <v>2.0</v>
      </c>
      <c r="P32" s="6"/>
      <c r="Q32" s="6"/>
      <c r="R32" s="4">
        <v>9.0</v>
      </c>
      <c r="S32" s="4">
        <v>-4.0</v>
      </c>
      <c r="T32" s="4">
        <v>1.0</v>
      </c>
      <c r="U32" s="5" t="s">
        <v>83</v>
      </c>
    </row>
    <row r="33">
      <c r="A33" s="3" t="s">
        <v>21</v>
      </c>
      <c r="B33" s="3" t="s">
        <v>21</v>
      </c>
      <c r="C33" s="4">
        <v>0.0</v>
      </c>
      <c r="D33" s="4">
        <v>100.0</v>
      </c>
      <c r="E33" s="4">
        <v>115.0</v>
      </c>
      <c r="F33" s="4">
        <v>1.0</v>
      </c>
      <c r="G33" s="3" t="s">
        <v>21</v>
      </c>
      <c r="H33" s="5" t="s">
        <v>84</v>
      </c>
      <c r="I33" s="5" t="s">
        <v>23</v>
      </c>
      <c r="J33" s="5" t="s">
        <v>24</v>
      </c>
      <c r="K33" s="4">
        <v>0.9</v>
      </c>
      <c r="L33" s="6"/>
      <c r="M33" s="4">
        <v>1.0</v>
      </c>
      <c r="N33" s="5">
        <v>18.0</v>
      </c>
      <c r="O33" s="4">
        <v>1.0</v>
      </c>
      <c r="P33" s="4">
        <v>10.0</v>
      </c>
      <c r="Q33" s="4">
        <v>-4.0</v>
      </c>
      <c r="R33" s="6"/>
      <c r="S33" s="6"/>
      <c r="T33" s="4">
        <v>1.0</v>
      </c>
      <c r="U33" s="5" t="s">
        <v>85</v>
      </c>
    </row>
    <row r="34">
      <c r="A34" s="3" t="s">
        <v>21</v>
      </c>
      <c r="B34" s="3" t="s">
        <v>21</v>
      </c>
      <c r="C34" s="4">
        <v>0.0</v>
      </c>
      <c r="D34" s="4">
        <v>100.0</v>
      </c>
      <c r="E34" s="4">
        <v>152.0</v>
      </c>
      <c r="F34" s="4">
        <v>1.0</v>
      </c>
      <c r="G34" s="3" t="s">
        <v>21</v>
      </c>
      <c r="H34" s="5" t="s">
        <v>86</v>
      </c>
      <c r="I34" s="5" t="s">
        <v>23</v>
      </c>
      <c r="J34" s="5" t="s">
        <v>24</v>
      </c>
      <c r="K34" s="4">
        <v>0.8</v>
      </c>
      <c r="L34" s="6"/>
      <c r="M34" s="4">
        <v>1.0</v>
      </c>
      <c r="N34" s="5">
        <v>22.0</v>
      </c>
      <c r="O34" s="4">
        <v>1.0</v>
      </c>
      <c r="P34" s="6"/>
      <c r="Q34" s="6"/>
      <c r="R34" s="4">
        <v>6.0</v>
      </c>
      <c r="S34" s="4">
        <v>-3.0</v>
      </c>
      <c r="T34" s="4">
        <v>1.0</v>
      </c>
      <c r="U34" s="5" t="s">
        <v>87</v>
      </c>
    </row>
    <row r="35">
      <c r="A35" s="3" t="s">
        <v>21</v>
      </c>
      <c r="B35" s="3" t="s">
        <v>21</v>
      </c>
      <c r="C35" s="4">
        <v>0.0</v>
      </c>
      <c r="D35" s="4">
        <v>100.0</v>
      </c>
      <c r="E35" s="4">
        <v>100.0</v>
      </c>
      <c r="F35" s="4">
        <v>1.0</v>
      </c>
      <c r="G35" s="3" t="s">
        <v>21</v>
      </c>
      <c r="H35" s="5" t="s">
        <v>88</v>
      </c>
      <c r="I35" s="5" t="s">
        <v>23</v>
      </c>
      <c r="J35" s="5" t="s">
        <v>24</v>
      </c>
      <c r="K35" s="4">
        <v>1.0</v>
      </c>
      <c r="L35" s="6"/>
      <c r="M35" s="4">
        <v>1.0</v>
      </c>
      <c r="N35" s="5">
        <v>18.0</v>
      </c>
      <c r="O35" s="4">
        <v>2.0</v>
      </c>
      <c r="P35" s="4">
        <v>8.0</v>
      </c>
      <c r="Q35" s="4">
        <v>-4.0</v>
      </c>
      <c r="R35" s="6"/>
      <c r="S35" s="6"/>
      <c r="T35" s="4">
        <v>1.0</v>
      </c>
      <c r="U35" s="6"/>
    </row>
    <row r="36">
      <c r="A36" s="3" t="s">
        <v>21</v>
      </c>
      <c r="B36" s="3" t="s">
        <v>21</v>
      </c>
      <c r="C36" s="4">
        <v>0.0</v>
      </c>
      <c r="D36" s="4">
        <v>100.0</v>
      </c>
      <c r="E36" s="4">
        <v>80.0</v>
      </c>
      <c r="F36" s="4">
        <v>1.0</v>
      </c>
      <c r="G36" s="3" t="s">
        <v>21</v>
      </c>
      <c r="H36" s="5" t="s">
        <v>89</v>
      </c>
      <c r="I36" s="5" t="s">
        <v>23</v>
      </c>
      <c r="J36" s="5" t="s">
        <v>24</v>
      </c>
      <c r="K36" s="4">
        <v>1.0</v>
      </c>
      <c r="L36" s="6"/>
      <c r="M36" s="4">
        <v>1.0</v>
      </c>
      <c r="N36" s="5">
        <v>17.0</v>
      </c>
      <c r="O36" s="4">
        <v>2.0</v>
      </c>
      <c r="P36" s="6"/>
      <c r="Q36" s="6"/>
      <c r="R36" s="4">
        <v>10.0</v>
      </c>
      <c r="S36" s="4">
        <v>-5.0</v>
      </c>
      <c r="T36" s="4">
        <v>1.0</v>
      </c>
      <c r="U36" s="5" t="s">
        <v>90</v>
      </c>
    </row>
    <row r="37">
      <c r="A37" s="3" t="s">
        <v>21</v>
      </c>
      <c r="B37" s="3" t="s">
        <v>21</v>
      </c>
      <c r="C37" s="4">
        <v>0.0</v>
      </c>
      <c r="D37" s="4">
        <v>100.0</v>
      </c>
      <c r="E37" s="4">
        <v>90.0</v>
      </c>
      <c r="F37" s="4">
        <v>1.0</v>
      </c>
      <c r="G37" s="3" t="s">
        <v>21</v>
      </c>
      <c r="H37" s="5" t="s">
        <v>91</v>
      </c>
      <c r="I37" s="5" t="s">
        <v>23</v>
      </c>
      <c r="J37" s="5" t="s">
        <v>24</v>
      </c>
      <c r="K37" s="4">
        <v>1.0</v>
      </c>
      <c r="L37" s="6"/>
      <c r="M37" s="4">
        <v>1.0</v>
      </c>
      <c r="N37" s="5">
        <v>22.0</v>
      </c>
      <c r="O37" s="4">
        <v>1.0</v>
      </c>
      <c r="P37" s="4">
        <v>2.0</v>
      </c>
      <c r="Q37" s="4">
        <v>-1.0</v>
      </c>
      <c r="R37" s="6"/>
      <c r="S37" s="6"/>
      <c r="T37" s="4">
        <v>1.0</v>
      </c>
      <c r="U37" s="5" t="s">
        <v>92</v>
      </c>
    </row>
    <row r="38">
      <c r="A38" s="3" t="s">
        <v>21</v>
      </c>
      <c r="B38" s="3" t="s">
        <v>21</v>
      </c>
      <c r="C38" s="4">
        <v>0.0</v>
      </c>
      <c r="D38" s="4">
        <v>100.0</v>
      </c>
      <c r="E38" s="4">
        <v>69.0</v>
      </c>
      <c r="F38" s="4">
        <v>1.0</v>
      </c>
      <c r="G38" s="3" t="s">
        <v>21</v>
      </c>
      <c r="H38" s="5" t="s">
        <v>93</v>
      </c>
      <c r="I38" s="5" t="s">
        <v>23</v>
      </c>
      <c r="J38" s="5" t="s">
        <v>24</v>
      </c>
      <c r="K38" s="4">
        <v>1.0</v>
      </c>
      <c r="L38" s="6"/>
      <c r="M38" s="4">
        <v>1.0</v>
      </c>
      <c r="N38" s="5">
        <v>23.0</v>
      </c>
      <c r="O38" s="4">
        <v>1.0</v>
      </c>
      <c r="P38" s="6"/>
      <c r="Q38" s="6"/>
      <c r="R38" s="4">
        <v>8.0</v>
      </c>
      <c r="S38" s="4">
        <v>-3.0</v>
      </c>
      <c r="T38" s="4">
        <v>1.0</v>
      </c>
      <c r="U38" s="5" t="s">
        <v>94</v>
      </c>
    </row>
    <row r="39">
      <c r="A39" s="3" t="s">
        <v>21</v>
      </c>
      <c r="B39" s="3" t="s">
        <v>21</v>
      </c>
      <c r="C39" s="4">
        <v>0.0</v>
      </c>
      <c r="D39" s="4">
        <v>100.0</v>
      </c>
      <c r="E39" s="4">
        <v>119.0</v>
      </c>
      <c r="F39" s="4">
        <v>1.0</v>
      </c>
      <c r="G39" s="3" t="s">
        <v>21</v>
      </c>
      <c r="H39" s="5" t="s">
        <v>95</v>
      </c>
      <c r="I39" s="5" t="s">
        <v>23</v>
      </c>
      <c r="J39" s="5" t="s">
        <v>24</v>
      </c>
      <c r="K39" s="4">
        <v>0.7</v>
      </c>
      <c r="L39" s="6"/>
      <c r="M39" s="4">
        <v>1.0</v>
      </c>
      <c r="N39" s="5">
        <v>18.0</v>
      </c>
      <c r="O39" s="4">
        <v>2.0</v>
      </c>
      <c r="P39" s="4">
        <v>8.0</v>
      </c>
      <c r="Q39" s="4">
        <v>-3.0</v>
      </c>
      <c r="R39" s="6"/>
      <c r="S39" s="6"/>
      <c r="T39" s="4">
        <v>1.0</v>
      </c>
      <c r="U39" s="5" t="s">
        <v>96</v>
      </c>
    </row>
    <row r="40">
      <c r="A40" s="3" t="s">
        <v>21</v>
      </c>
      <c r="B40" s="3" t="s">
        <v>21</v>
      </c>
      <c r="C40" s="4">
        <v>0.0</v>
      </c>
      <c r="D40" s="4">
        <v>100.0</v>
      </c>
      <c r="E40" s="4">
        <v>245.0</v>
      </c>
      <c r="F40" s="4">
        <v>1.0</v>
      </c>
      <c r="G40" s="3" t="s">
        <v>21</v>
      </c>
      <c r="H40" s="5" t="s">
        <v>97</v>
      </c>
      <c r="I40" s="5" t="s">
        <v>23</v>
      </c>
      <c r="J40" s="5" t="s">
        <v>24</v>
      </c>
      <c r="K40" s="4">
        <v>1.0</v>
      </c>
      <c r="L40" s="6"/>
      <c r="M40" s="4">
        <v>1.0</v>
      </c>
      <c r="N40" s="5">
        <v>19.0</v>
      </c>
      <c r="O40" s="4">
        <v>2.0</v>
      </c>
      <c r="P40" s="6"/>
      <c r="Q40" s="6"/>
      <c r="R40" s="4">
        <v>9.0</v>
      </c>
      <c r="S40" s="4">
        <v>-4.0</v>
      </c>
      <c r="T40" s="4">
        <v>1.0</v>
      </c>
      <c r="U40" s="5" t="s">
        <v>98</v>
      </c>
    </row>
    <row r="41">
      <c r="A41" s="3" t="s">
        <v>21</v>
      </c>
      <c r="B41" s="3" t="s">
        <v>21</v>
      </c>
      <c r="C41" s="4">
        <v>0.0</v>
      </c>
      <c r="D41" s="4">
        <v>100.0</v>
      </c>
      <c r="E41" s="4">
        <v>75.0</v>
      </c>
      <c r="F41" s="4">
        <v>1.0</v>
      </c>
      <c r="G41" s="3" t="s">
        <v>21</v>
      </c>
      <c r="H41" s="5" t="s">
        <v>99</v>
      </c>
      <c r="I41" s="5" t="s">
        <v>23</v>
      </c>
      <c r="J41" s="5" t="s">
        <v>24</v>
      </c>
      <c r="K41" s="4">
        <v>1.0</v>
      </c>
      <c r="L41" s="6"/>
      <c r="M41" s="4">
        <v>1.0</v>
      </c>
      <c r="N41" s="5">
        <v>18.0</v>
      </c>
      <c r="O41" s="4">
        <v>2.0</v>
      </c>
      <c r="P41" s="4">
        <v>10.0</v>
      </c>
      <c r="Q41" s="4">
        <v>-4.0</v>
      </c>
      <c r="R41" s="6"/>
      <c r="S41" s="6"/>
      <c r="T41" s="4">
        <v>1.0</v>
      </c>
      <c r="U41" s="5" t="s">
        <v>100</v>
      </c>
    </row>
    <row r="42">
      <c r="A42" s="3" t="s">
        <v>21</v>
      </c>
      <c r="B42" s="3" t="s">
        <v>21</v>
      </c>
      <c r="C42" s="4">
        <v>0.0</v>
      </c>
      <c r="D42" s="4">
        <v>100.0</v>
      </c>
      <c r="E42" s="4">
        <v>78.0</v>
      </c>
      <c r="F42" s="4">
        <v>1.0</v>
      </c>
      <c r="G42" s="3" t="s">
        <v>21</v>
      </c>
      <c r="H42" s="5" t="s">
        <v>101</v>
      </c>
      <c r="I42" s="5" t="s">
        <v>23</v>
      </c>
      <c r="J42" s="5" t="s">
        <v>24</v>
      </c>
      <c r="K42" s="4">
        <v>1.0</v>
      </c>
      <c r="L42" s="6"/>
      <c r="M42" s="4">
        <v>1.0</v>
      </c>
      <c r="N42" s="5">
        <v>18.0</v>
      </c>
      <c r="O42" s="4">
        <v>2.0</v>
      </c>
      <c r="P42" s="4">
        <v>8.0</v>
      </c>
      <c r="Q42" s="4">
        <v>-3.0</v>
      </c>
      <c r="R42" s="6"/>
      <c r="S42" s="6"/>
      <c r="T42" s="4">
        <v>1.0</v>
      </c>
      <c r="U42" s="5" t="s">
        <v>102</v>
      </c>
    </row>
    <row r="43">
      <c r="A43" s="3" t="s">
        <v>21</v>
      </c>
      <c r="B43" s="3" t="s">
        <v>21</v>
      </c>
      <c r="C43" s="4">
        <v>0.0</v>
      </c>
      <c r="D43" s="4">
        <v>100.0</v>
      </c>
      <c r="E43" s="4">
        <v>72.0</v>
      </c>
      <c r="F43" s="4">
        <v>1.0</v>
      </c>
      <c r="G43" s="3" t="s">
        <v>21</v>
      </c>
      <c r="H43" s="5" t="s">
        <v>103</v>
      </c>
      <c r="I43" s="5" t="s">
        <v>23</v>
      </c>
      <c r="J43" s="5" t="s">
        <v>24</v>
      </c>
      <c r="K43" s="4">
        <v>1.0</v>
      </c>
      <c r="L43" s="6"/>
      <c r="M43" s="4">
        <v>1.0</v>
      </c>
      <c r="N43" s="5">
        <v>18.0</v>
      </c>
      <c r="O43" s="4">
        <v>1.0</v>
      </c>
      <c r="P43" s="6"/>
      <c r="Q43" s="6"/>
      <c r="R43" s="4">
        <v>7.0</v>
      </c>
      <c r="S43" s="4">
        <v>-2.0</v>
      </c>
      <c r="T43" s="4">
        <v>1.0</v>
      </c>
      <c r="U43" s="5" t="s">
        <v>104</v>
      </c>
    </row>
    <row r="44">
      <c r="A44" s="3" t="s">
        <v>21</v>
      </c>
      <c r="B44" s="3" t="s">
        <v>21</v>
      </c>
      <c r="C44" s="4">
        <v>0.0</v>
      </c>
      <c r="D44" s="4">
        <v>100.0</v>
      </c>
      <c r="E44" s="4">
        <v>162.0</v>
      </c>
      <c r="F44" s="4">
        <v>1.0</v>
      </c>
      <c r="G44" s="3" t="s">
        <v>21</v>
      </c>
      <c r="H44" s="5" t="s">
        <v>105</v>
      </c>
      <c r="I44" s="5" t="s">
        <v>23</v>
      </c>
      <c r="J44" s="5" t="s">
        <v>24</v>
      </c>
      <c r="K44" s="4">
        <v>1.0</v>
      </c>
      <c r="L44" s="6"/>
      <c r="M44" s="4">
        <v>1.0</v>
      </c>
      <c r="N44" s="5">
        <v>18.0</v>
      </c>
      <c r="O44" s="4">
        <v>1.0</v>
      </c>
      <c r="P44" s="6"/>
      <c r="Q44" s="6"/>
      <c r="R44" s="4">
        <v>6.0</v>
      </c>
      <c r="S44" s="4">
        <v>-3.0</v>
      </c>
      <c r="T44" s="4">
        <v>1.0</v>
      </c>
      <c r="U44" s="5" t="s">
        <v>106</v>
      </c>
    </row>
    <row r="45">
      <c r="A45" s="3" t="s">
        <v>21</v>
      </c>
      <c r="B45" s="3" t="s">
        <v>21</v>
      </c>
      <c r="C45" s="4">
        <v>0.0</v>
      </c>
      <c r="D45" s="4">
        <v>100.0</v>
      </c>
      <c r="E45" s="4">
        <v>86.0</v>
      </c>
      <c r="F45" s="4">
        <v>1.0</v>
      </c>
      <c r="G45" s="3" t="s">
        <v>21</v>
      </c>
      <c r="H45" s="5" t="s">
        <v>107</v>
      </c>
      <c r="I45" s="5" t="s">
        <v>23</v>
      </c>
      <c r="J45" s="5" t="s">
        <v>24</v>
      </c>
      <c r="K45" s="4">
        <v>1.0</v>
      </c>
      <c r="L45" s="6"/>
      <c r="M45" s="4">
        <v>1.0</v>
      </c>
      <c r="N45" s="5">
        <v>18.0</v>
      </c>
      <c r="O45" s="4">
        <v>2.0</v>
      </c>
      <c r="P45" s="6"/>
      <c r="Q45" s="6"/>
      <c r="R45" s="4">
        <v>5.0</v>
      </c>
      <c r="S45" s="4">
        <v>1.0</v>
      </c>
      <c r="T45" s="4">
        <v>1.0</v>
      </c>
      <c r="U45" s="5" t="s">
        <v>108</v>
      </c>
    </row>
    <row r="46">
      <c r="P46" s="7">
        <f t="shared" ref="P46:S46" si="1">AVERAGE(P2:P45)</f>
        <v>7.3</v>
      </c>
      <c r="Q46" s="7">
        <f t="shared" si="1"/>
        <v>-2.75</v>
      </c>
      <c r="R46" s="7">
        <f t="shared" si="1"/>
        <v>8.625</v>
      </c>
      <c r="S46" s="7">
        <f t="shared" si="1"/>
        <v>-2.875</v>
      </c>
    </row>
    <row r="47">
      <c r="N47" s="7">
        <f> AVERAGE(N1:N45)</f>
        <v>18.93023256</v>
      </c>
      <c r="O47" s="7" t="str">
        <f>COUNTIF(O1:O47, 2)</f>
        <v>#REF!</v>
      </c>
    </row>
    <row r="48">
      <c r="P48" s="7">
        <f>COUNT(P1:P45)</f>
        <v>20</v>
      </c>
      <c r="R48" s="7">
        <f>COUNT(R1:R45)</f>
        <v>24</v>
      </c>
    </row>
    <row r="54">
      <c r="I54" s="2" t="s">
        <v>109</v>
      </c>
      <c r="J54" s="8">
        <v>7.3</v>
      </c>
      <c r="P54" s="2" t="s">
        <v>109</v>
      </c>
      <c r="Q54" s="2" t="s">
        <v>110</v>
      </c>
      <c r="R54" s="2" t="s">
        <v>111</v>
      </c>
      <c r="S54" s="2" t="s">
        <v>112</v>
      </c>
    </row>
    <row r="55">
      <c r="I55" s="2" t="s">
        <v>110</v>
      </c>
      <c r="K55" s="8">
        <v>8.625</v>
      </c>
      <c r="O55" s="8" t="s">
        <v>113</v>
      </c>
      <c r="P55" s="8">
        <v>7.3</v>
      </c>
      <c r="Q55" s="8">
        <v>8.625</v>
      </c>
      <c r="R55" s="8">
        <v>-2.75</v>
      </c>
      <c r="S55" s="8">
        <v>-2.875</v>
      </c>
    </row>
    <row r="56">
      <c r="I56" s="2" t="s">
        <v>111</v>
      </c>
      <c r="L56" s="8">
        <v>-2.75</v>
      </c>
      <c r="O56" s="8" t="s">
        <v>114</v>
      </c>
      <c r="P56" s="7">
        <f>STDEV(P2:P45)</f>
        <v>2.494203807</v>
      </c>
      <c r="Q56" s="7">
        <f>STDEV(R2:R45)</f>
        <v>1.714706211</v>
      </c>
      <c r="R56" s="7">
        <f>STDEV(Q2:Q45)</f>
        <v>2.446802425</v>
      </c>
      <c r="S56" s="7">
        <f>STDEV(S2:S45)</f>
        <v>1.650098811</v>
      </c>
    </row>
    <row r="57">
      <c r="I57" s="2" t="s">
        <v>112</v>
      </c>
      <c r="M57" s="8">
        <v>-2.875</v>
      </c>
    </row>
  </sheetData>
  <drawing r:id="rId1"/>
</worksheet>
</file>